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Log" sheetId="1" r:id="rId5"/>
    <sheet state="visible" name="Supplier Performance" sheetId="2" r:id="rId6"/>
    <sheet state="visible" name="Category Analysis" sheetId="3" r:id="rId7"/>
    <sheet state="visible" name="Suppliers Catalog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<sst xmlns="http://schemas.openxmlformats.org/spreadsheetml/2006/main" count="68" uniqueCount="36">
  <si>
    <t>Order ID</t>
  </si>
  <si>
    <t>Date</t>
  </si>
  <si>
    <t xml:space="preserve">Product Name </t>
  </si>
  <si>
    <t>Category</t>
  </si>
  <si>
    <t>Units Sold</t>
  </si>
  <si>
    <t>Total Revenue</t>
  </si>
  <si>
    <t>COGS</t>
  </si>
  <si>
    <t>Supplier</t>
  </si>
  <si>
    <t>Supplier Email</t>
  </si>
  <si>
    <t>Gross Profit Margin %</t>
  </si>
  <si>
    <t>Gaming Monitor</t>
  </si>
  <si>
    <t>Screens</t>
  </si>
  <si>
    <t>Mechanical Keyboard</t>
  </si>
  <si>
    <t>Accessories</t>
  </si>
  <si>
    <t>USB-C Cable</t>
  </si>
  <si>
    <t>Cables</t>
  </si>
  <si>
    <t>Wireless Mouse</t>
  </si>
  <si>
    <t>Bluetooth Speaker</t>
  </si>
  <si>
    <t>Audio</t>
  </si>
  <si>
    <t>SUM de Total Revenue</t>
  </si>
  <si>
    <t>SUM de Units Sold</t>
  </si>
  <si>
    <t>GoWireless Co</t>
  </si>
  <si>
    <t>KeyClick Corp</t>
  </si>
  <si>
    <t>LinkWire Solutions</t>
  </si>
  <si>
    <t>ScreenTech Ltd</t>
  </si>
  <si>
    <t>SoundWave Inc</t>
  </si>
  <si>
    <t>Suma total</t>
  </si>
  <si>
    <t>SUM de COGS</t>
  </si>
  <si>
    <t>Product Name</t>
  </si>
  <si>
    <t xml:space="preserve">Supplier </t>
  </si>
  <si>
    <t xml:space="preserve">Supplier Email </t>
  </si>
  <si>
    <t>contact@screentech.com</t>
  </si>
  <si>
    <t>sales@keyclick.com</t>
  </si>
  <si>
    <t>info@linkwire.com</t>
  </si>
  <si>
    <t>support@gowireless.com</t>
  </si>
  <si>
    <t>orders@soundwave.com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</si>
</sst>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€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&quot;DM Mono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0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2" sheet="Sales Log"/>
  </cacheSource>
  <cacheFields>
    <cacheField name="Order 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</sharedItems>
    </cacheField>
    <cacheField name="Date" numFmtId="164">
      <sharedItems containsSemiMixedTypes="0" containsDate="1" containsString="0"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</sharedItems>
    </cacheField>
    <cacheField name="Product Name " numFmtId="0">
      <sharedItems>
        <s v="Gaming Monitor"/>
        <s v="Mechanical Keyboard"/>
        <s v="USB-C Cable"/>
        <s v="Wireless Mouse"/>
        <s v="Bluetooth Speaker"/>
      </sharedItems>
    </cacheField>
    <cacheField name="Category" numFmtId="0">
      <sharedItems>
        <s v="Screens"/>
        <s v="Accessories"/>
        <s v="Cables"/>
        <s v="Audio"/>
      </sharedItems>
    </cacheField>
    <cacheField name="Units Sold" numFmtId="0">
      <sharedItems containsSemiMixedTypes="0" containsString="0" containsNumber="1" containsInteger="1">
        <n v="5.0"/>
        <n v="10.0"/>
        <n v="50.0"/>
        <n v="20.0"/>
        <n v="2.0"/>
        <n v="15.0"/>
        <n v="4.0"/>
        <n v="30.0"/>
        <n v="12.0"/>
        <n v="8.0"/>
      </sharedItems>
    </cacheField>
    <cacheField name="Total Revenue" numFmtId="165">
      <sharedItems containsSemiMixedTypes="0" containsString="0" containsNumber="1">
        <n v="1499.95"/>
        <n v="850.0"/>
        <n v="625.0"/>
        <n v="500.0"/>
        <n v="599.94"/>
        <n v="1200.0"/>
        <n v="340.0"/>
        <n v="375.0"/>
        <n v="300.0"/>
        <n v="640.0"/>
        <n v="187.5"/>
      </sharedItems>
    </cacheField>
    <cacheField name="COGS" numFmtId="165">
      <sharedItems containsSemiMixedTypes="0" containsString="0" containsNumber="1" containsInteger="1">
        <n v="600.0"/>
        <n v="340.0"/>
        <n v="250.0"/>
        <n v="200.0"/>
        <n v="240.0"/>
        <n v="480.0"/>
        <n v="136.0"/>
        <n v="150.0"/>
        <n v="120.0"/>
        <n v="256.0"/>
        <n v="75.0"/>
      </sharedItems>
    </cacheField>
    <cacheField name="Supplier" numFmtId="0">
      <sharedItems>
        <s v="ScreenTech Ltd"/>
        <s v="KeyClick Corp"/>
        <s v="LinkWire Solutions"/>
        <s v="GoWireless Co"/>
        <s v="SoundWave Inc"/>
      </sharedItems>
    </cacheField>
    <cacheField name="Supplier Email" numFmtId="0">
      <sharedItems>
        <s v="contact@screentech.com"/>
        <s v="sales@keyclick.com"/>
        <s v="info@linkwire.com"/>
        <s v="support@gowireless.com"/>
        <s v="orders@soundwave.com"/>
      </sharedItems>
    </cacheField>
    <cacheField name="Gross Profit Margin %" numFmtId="10">
      <sharedItems containsSemiMixedTypes="0" containsString="0" containsNumber="1">
        <n v="0.5999866662222074"/>
        <n v="0.6"/>
        <n v="0.599959995999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pplier Performance" cacheId="0" dataCaption="" compact="0" compactData="0">
  <location ref="A1:C7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G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pplier" axis="axisRow" compact="0" outline="0" multipleItemSelectionAllowed="1" showAll="0" sortType="ascending">
      <items>
        <item x="3"/>
        <item x="1"/>
        <item x="2"/>
        <item x="0"/>
        <item x="4"/>
        <item t="default"/>
      </items>
    </pivotField>
    <pivotField name="Supplier Ema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 Margin %" compact="0" numFmtId="1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-2"/>
  </colFields>
  <dataFields>
    <dataField name="SUM of Total Revenue" fld="5" baseField="0"/>
    <dataField name="SUM of Units Sold" fld="4" baseField="0"/>
  </dataFields>
</pivotTableDefinition>
</file>

<file path=xl/pivotTables/pivotTable2.xml><?xml version="1.0" encoding="utf-8"?>
<pivotTableDefinition xmlns="http://schemas.openxmlformats.org/spreadsheetml/2006/main" name="Category Analysis" cacheId="0" dataCaption="" compact="0" compactData="0">
  <location ref="A1:D6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G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 Ema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 Margin %" compact="0" numFmtId="1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-2"/>
  </colFields>
  <dataFields>
    <dataField name="SUM of COGS" fld="6" baseField="0"/>
    <dataField name="SUM of Total Revenue" fld="5" baseField="0"/>
    <dataField name="SUM of Units Sol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.5"/>
    <col customWidth="1" min="3" max="3" width="17.0"/>
    <col customWidth="1" min="4" max="4" width="10.0"/>
    <col customWidth="1" min="5" max="5" width="8.63"/>
    <col customWidth="1" min="7" max="7" width="7.0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3">
        <v>1001.0</v>
      </c>
      <c r="B2" s="4">
        <v>46152.0</v>
      </c>
      <c r="C2" s="3" t="s">
        <v>10</v>
      </c>
      <c r="D2" s="3" t="s">
        <v>11</v>
      </c>
      <c r="E2" s="3">
        <v>5.0</v>
      </c>
      <c r="F2" s="5">
        <v>1499.95</v>
      </c>
      <c r="G2" s="5">
        <v>600.0</v>
      </c>
      <c r="H2" s="6" t="str">
        <f>VLOOKUP(C2, 'Suppliers Catalog'!A$2:C$6,2,0)</f>
        <v>ScreenTech Ltd</v>
      </c>
      <c r="I2" s="6" t="str">
        <f>VLOOKUP(C2 , 'Suppliers Catalog'!A$2:C$6 , 3 , 0)</f>
        <v>contact@screentech.com</v>
      </c>
      <c r="J2" s="7">
        <f t="shared" ref="J2:J12" si="1">(F2-G2)/F2</f>
        <v>0.5999866662</v>
      </c>
    </row>
    <row r="3">
      <c r="A3" s="3">
        <v>1002.0</v>
      </c>
      <c r="B3" s="4">
        <v>46153.0</v>
      </c>
      <c r="C3" s="3" t="s">
        <v>12</v>
      </c>
      <c r="D3" s="3" t="s">
        <v>13</v>
      </c>
      <c r="E3" s="3">
        <v>10.0</v>
      </c>
      <c r="F3" s="5">
        <v>850.0</v>
      </c>
      <c r="G3" s="5">
        <v>340.0</v>
      </c>
      <c r="H3" s="6" t="str">
        <f>VLOOKUP(C3, 'Suppliers Catalog'!A$2:C$6,2,0)</f>
        <v>KeyClick Corp</v>
      </c>
      <c r="I3" s="6" t="str">
        <f>VLOOKUP(C3 , 'Suppliers Catalog'!A$2:C$6 , 3 , 0)</f>
        <v>sales@keyclick.com</v>
      </c>
      <c r="J3" s="7">
        <f t="shared" si="1"/>
        <v>0.6</v>
      </c>
    </row>
    <row r="4">
      <c r="A4" s="3">
        <v>1003.0</v>
      </c>
      <c r="B4" s="4">
        <v>46153.0</v>
      </c>
      <c r="C4" s="3" t="s">
        <v>14</v>
      </c>
      <c r="D4" s="3" t="s">
        <v>15</v>
      </c>
      <c r="E4" s="3">
        <v>50.0</v>
      </c>
      <c r="F4" s="5">
        <v>625.0</v>
      </c>
      <c r="G4" s="5">
        <v>250.0</v>
      </c>
      <c r="H4" s="6" t="str">
        <f>VLOOKUP(C4, 'Suppliers Catalog'!A$2:C$6,2,0)</f>
        <v>LinkWire Solutions</v>
      </c>
      <c r="I4" s="6" t="str">
        <f>VLOOKUP(C4 , 'Suppliers Catalog'!A$2:C$6 , 3 , 0)</f>
        <v>info@linkwire.com</v>
      </c>
      <c r="J4" s="7">
        <f t="shared" si="1"/>
        <v>0.6</v>
      </c>
    </row>
    <row r="5">
      <c r="A5" s="3">
        <v>1004.0</v>
      </c>
      <c r="B5" s="4">
        <v>46154.0</v>
      </c>
      <c r="C5" s="3" t="s">
        <v>16</v>
      </c>
      <c r="D5" s="3" t="s">
        <v>13</v>
      </c>
      <c r="E5" s="3">
        <v>20.0</v>
      </c>
      <c r="F5" s="5">
        <v>500.0</v>
      </c>
      <c r="G5" s="5">
        <v>200.0</v>
      </c>
      <c r="H5" s="6" t="str">
        <f>VLOOKUP(C5, 'Suppliers Catalog'!A$2:C$6,2,0)</f>
        <v>GoWireless Co</v>
      </c>
      <c r="I5" s="6" t="str">
        <f>VLOOKUP(C5 , 'Suppliers Catalog'!A$2:C$6 , 3 , 0)</f>
        <v>support@gowireless.com</v>
      </c>
      <c r="J5" s="7">
        <f t="shared" si="1"/>
        <v>0.6</v>
      </c>
    </row>
    <row r="6">
      <c r="A6" s="3">
        <v>1005.0</v>
      </c>
      <c r="B6" s="4">
        <v>46155.0</v>
      </c>
      <c r="C6" s="3" t="s">
        <v>10</v>
      </c>
      <c r="D6" s="3" t="s">
        <v>11</v>
      </c>
      <c r="E6" s="3">
        <v>2.0</v>
      </c>
      <c r="F6" s="5">
        <v>599.94</v>
      </c>
      <c r="G6" s="5">
        <v>240.0</v>
      </c>
      <c r="H6" s="6" t="str">
        <f>VLOOKUP(C6, 'Suppliers Catalog'!A$2:C$6,2,0)</f>
        <v>ScreenTech Ltd</v>
      </c>
      <c r="I6" s="6" t="str">
        <f>VLOOKUP(C6 , 'Suppliers Catalog'!A$2:C$6 , 3 , 0)</f>
        <v>contact@screentech.com</v>
      </c>
      <c r="J6" s="7">
        <f t="shared" si="1"/>
        <v>0.599959996</v>
      </c>
    </row>
    <row r="7">
      <c r="A7" s="3">
        <v>1006.0</v>
      </c>
      <c r="B7" s="4">
        <v>46156.0</v>
      </c>
      <c r="C7" s="3" t="s">
        <v>17</v>
      </c>
      <c r="D7" s="3" t="s">
        <v>18</v>
      </c>
      <c r="E7" s="3">
        <v>15.0</v>
      </c>
      <c r="F7" s="5">
        <v>1200.0</v>
      </c>
      <c r="G7" s="5">
        <v>480.0</v>
      </c>
      <c r="H7" s="6" t="str">
        <f>VLOOKUP(C7, 'Suppliers Catalog'!A$2:C$6,2,0)</f>
        <v>SoundWave Inc</v>
      </c>
      <c r="I7" s="6" t="str">
        <f>VLOOKUP(C7 , 'Suppliers Catalog'!A$2:C$6 , 3 , 0)</f>
        <v>orders@soundwave.com</v>
      </c>
      <c r="J7" s="7">
        <f t="shared" si="1"/>
        <v>0.6</v>
      </c>
    </row>
    <row r="8">
      <c r="A8" s="3">
        <v>1007.0</v>
      </c>
      <c r="B8" s="4">
        <v>46157.0</v>
      </c>
      <c r="C8" s="3" t="s">
        <v>12</v>
      </c>
      <c r="D8" s="3" t="s">
        <v>13</v>
      </c>
      <c r="E8" s="3">
        <v>4.0</v>
      </c>
      <c r="F8" s="5">
        <v>340.0</v>
      </c>
      <c r="G8" s="5">
        <v>136.0</v>
      </c>
      <c r="H8" s="6" t="str">
        <f>VLOOKUP(C8, 'Suppliers Catalog'!A$2:C$6,2,0)</f>
        <v>KeyClick Corp</v>
      </c>
      <c r="I8" s="6" t="str">
        <f>VLOOKUP(C8 , 'Suppliers Catalog'!A$2:C$6 , 3 , 0)</f>
        <v>sales@keyclick.com</v>
      </c>
      <c r="J8" s="7">
        <f t="shared" si="1"/>
        <v>0.6</v>
      </c>
    </row>
    <row r="9">
      <c r="A9" s="3">
        <v>1008.0</v>
      </c>
      <c r="B9" s="4">
        <v>46158.0</v>
      </c>
      <c r="C9" s="3" t="s">
        <v>14</v>
      </c>
      <c r="D9" s="3" t="s">
        <v>15</v>
      </c>
      <c r="E9" s="3">
        <v>30.0</v>
      </c>
      <c r="F9" s="5">
        <v>375.0</v>
      </c>
      <c r="G9" s="5">
        <v>150.0</v>
      </c>
      <c r="H9" s="6" t="str">
        <f>VLOOKUP(C9, 'Suppliers Catalog'!A$2:C$6,2,0)</f>
        <v>LinkWire Solutions</v>
      </c>
      <c r="I9" s="6" t="str">
        <f>VLOOKUP(C9 , 'Suppliers Catalog'!A$2:C$6 , 3 , 0)</f>
        <v>info@linkwire.com</v>
      </c>
      <c r="J9" s="7">
        <f t="shared" si="1"/>
        <v>0.6</v>
      </c>
    </row>
    <row r="10">
      <c r="A10" s="3">
        <v>1009.0</v>
      </c>
      <c r="B10" s="4">
        <v>46159.0</v>
      </c>
      <c r="C10" s="3" t="s">
        <v>16</v>
      </c>
      <c r="D10" s="3" t="s">
        <v>13</v>
      </c>
      <c r="E10" s="3">
        <v>12.0</v>
      </c>
      <c r="F10" s="5">
        <v>300.0</v>
      </c>
      <c r="G10" s="5">
        <v>120.0</v>
      </c>
      <c r="H10" s="6" t="str">
        <f>VLOOKUP(C10, 'Suppliers Catalog'!A$2:C$6,2,0)</f>
        <v>GoWireless Co</v>
      </c>
      <c r="I10" s="6" t="str">
        <f>VLOOKUP(C10 , 'Suppliers Catalog'!A$2:C$6 , 3 , 0)</f>
        <v>support@gowireless.com</v>
      </c>
      <c r="J10" s="7">
        <f t="shared" si="1"/>
        <v>0.6</v>
      </c>
    </row>
    <row r="11">
      <c r="A11" s="3">
        <v>1010.0</v>
      </c>
      <c r="B11" s="4">
        <v>46160.0</v>
      </c>
      <c r="C11" s="3" t="s">
        <v>17</v>
      </c>
      <c r="D11" s="3" t="s">
        <v>18</v>
      </c>
      <c r="E11" s="3">
        <v>8.0</v>
      </c>
      <c r="F11" s="5">
        <v>640.0</v>
      </c>
      <c r="G11" s="5">
        <v>256.0</v>
      </c>
      <c r="H11" s="6" t="str">
        <f>VLOOKUP(C11, 'Suppliers Catalog'!A$2:C$6,2,0)</f>
        <v>SoundWave Inc</v>
      </c>
      <c r="I11" s="6" t="str">
        <f>VLOOKUP(C11 , 'Suppliers Catalog'!A$2:C$6 , 3 , 0)</f>
        <v>orders@soundwave.com</v>
      </c>
      <c r="J11" s="7">
        <f t="shared" si="1"/>
        <v>0.6</v>
      </c>
    </row>
    <row r="12">
      <c r="A12" s="3">
        <v>1011.0</v>
      </c>
      <c r="B12" s="4">
        <v>46161.0</v>
      </c>
      <c r="C12" s="3" t="s">
        <v>14</v>
      </c>
      <c r="D12" s="3" t="s">
        <v>15</v>
      </c>
      <c r="E12" s="3">
        <v>15.0</v>
      </c>
      <c r="F12" s="5">
        <v>187.5</v>
      </c>
      <c r="G12" s="5">
        <v>75.0</v>
      </c>
      <c r="H12" s="6" t="str">
        <f>VLOOKUP(C12, 'Suppliers Catalog'!A$2:C$6,2,0)</f>
        <v>LinkWire Solutions</v>
      </c>
      <c r="I12" s="6" t="str">
        <f>VLOOKUP(C12 , 'Suppliers Catalog'!A$2:C$6 , 3 , 0)</f>
        <v>info@linkwire.com</v>
      </c>
      <c r="J12" s="7">
        <f t="shared" si="1"/>
        <v>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38"/>
    <col customWidth="1" min="3" max="3" width="18.13"/>
    <col customWidth="1" min="4" max="4" width="15.13"/>
  </cols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75"/>
    <col customWidth="1" min="3" max="3" width="19.88"/>
  </cols>
  <sheetData>
    <row r="1">
      <c r="A1" s="3" t="s">
        <v>28</v>
      </c>
      <c r="B1" s="3" t="s">
        <v>29</v>
      </c>
      <c r="C1" s="3" t="s">
        <v>30</v>
      </c>
    </row>
    <row r="2">
      <c r="A2" s="3" t="s">
        <v>10</v>
      </c>
      <c r="B2" s="3" t="s">
        <v>24</v>
      </c>
      <c r="C2" s="3" t="s">
        <v>31</v>
      </c>
    </row>
    <row r="3">
      <c r="A3" s="3" t="s">
        <v>12</v>
      </c>
      <c r="B3" s="3" t="s">
        <v>22</v>
      </c>
      <c r="C3" s="3" t="s">
        <v>32</v>
      </c>
    </row>
    <row r="4">
      <c r="A4" s="3" t="s">
        <v>14</v>
      </c>
      <c r="B4" s="3" t="s">
        <v>23</v>
      </c>
      <c r="C4" s="3" t="s">
        <v>33</v>
      </c>
    </row>
    <row r="5">
      <c r="A5" s="3" t="s">
        <v>16</v>
      </c>
      <c r="B5" s="3" t="s">
        <v>21</v>
      </c>
      <c r="C5" s="3" t="s">
        <v>34</v>
      </c>
    </row>
    <row r="6">
      <c r="A6" s="3" t="s">
        <v>17</v>
      </c>
      <c r="B6" s="3" t="s">
        <v>25</v>
      </c>
      <c r="C6" s="3" t="s">
        <v>35</v>
      </c>
    </row>
  </sheetData>
  <drawing r:id="rId1"/>
</worksheet>
</file>